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cuments\Estudos\FACOM\3o_Periodo\AOC\"/>
    </mc:Choice>
  </mc:AlternateContent>
  <xr:revisionPtr revIDLastSave="0" documentId="8_{D3141A08-0D7B-40D4-A7C6-E26A59FF281D}" xr6:coauthVersionLast="47" xr6:coauthVersionMax="47" xr10:uidLastSave="{00000000-0000-0000-0000-000000000000}"/>
  <bookViews>
    <workbookView xWindow="-120" yWindow="-120" windowWidth="29040" windowHeight="15720" xr2:uid="{3DC8E04E-2B0B-47E5-A93A-9FCE19291A00}"/>
  </bookViews>
  <sheets>
    <sheet name="Planilha de Cálculos" sheetId="1" r:id="rId1"/>
    <sheet name="Plano de Testes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" i="2" l="1"/>
  <c r="L22" i="2"/>
  <c r="K21" i="2"/>
  <c r="L21" i="2"/>
  <c r="L20" i="2"/>
  <c r="K20" i="2"/>
  <c r="L27" i="2"/>
  <c r="K27" i="2"/>
  <c r="L26" i="2"/>
  <c r="K26" i="2"/>
  <c r="K12" i="1"/>
  <c r="L25" i="2"/>
  <c r="K25" i="2"/>
  <c r="K24" i="2"/>
  <c r="L24" i="2"/>
  <c r="L23" i="2"/>
  <c r="K23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K10" i="2"/>
  <c r="L10" i="2"/>
  <c r="L9" i="2"/>
  <c r="K9" i="2"/>
  <c r="L8" i="2"/>
  <c r="K8" i="2"/>
  <c r="G7" i="1"/>
  <c r="G6" i="1"/>
  <c r="G5" i="1" l="1"/>
  <c r="G4" i="1" l="1"/>
  <c r="K13" i="1" s="1"/>
  <c r="F9" i="1"/>
  <c r="F10" i="1" s="1"/>
  <c r="F17" i="1"/>
  <c r="G17" i="1" s="1"/>
  <c r="F13" i="1"/>
  <c r="H17" i="1" l="1"/>
  <c r="H18" i="1"/>
  <c r="G9" i="1"/>
  <c r="F20" i="1" l="1"/>
  <c r="G20" i="1" s="1"/>
  <c r="F19" i="1"/>
  <c r="G26" i="1" s="1"/>
  <c r="F12" i="1"/>
  <c r="F18" i="1" s="1"/>
  <c r="G18" i="1" s="1"/>
  <c r="F14" i="1"/>
  <c r="G27" i="1" l="1"/>
  <c r="G28" i="1" s="1"/>
  <c r="F26" i="1"/>
  <c r="F27" i="1" s="1"/>
  <c r="F28" i="1" s="1"/>
  <c r="G19" i="1"/>
</calcChain>
</file>

<file path=xl/sharedStrings.xml><?xml version="1.0" encoding="utf-8"?>
<sst xmlns="http://schemas.openxmlformats.org/spreadsheetml/2006/main" count="66" uniqueCount="51">
  <si>
    <t xml:space="preserve">D = </t>
  </si>
  <si>
    <r>
      <rPr>
        <b/>
        <sz val="14"/>
        <color theme="1"/>
        <rFont val="Symbol"/>
        <family val="1"/>
        <charset val="2"/>
      </rPr>
      <t>q</t>
    </r>
    <r>
      <rPr>
        <b/>
        <vertAlign val="subscript"/>
        <sz val="14"/>
        <color theme="1"/>
        <rFont val="Calibri"/>
        <family val="2"/>
        <scheme val="minor"/>
      </rPr>
      <t>1</t>
    </r>
    <r>
      <rPr>
        <b/>
        <sz val="14"/>
        <color theme="1"/>
        <rFont val="Calibri"/>
        <family val="2"/>
        <scheme val="minor"/>
      </rPr>
      <t xml:space="preserve"> = </t>
    </r>
  </si>
  <si>
    <r>
      <rPr>
        <b/>
        <sz val="14"/>
        <color theme="1"/>
        <rFont val="Symbol"/>
        <family val="1"/>
        <charset val="2"/>
      </rPr>
      <t>q</t>
    </r>
    <r>
      <rPr>
        <b/>
        <vertAlign val="sub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 xml:space="preserve"> = </t>
    </r>
  </si>
  <si>
    <r>
      <t>P</t>
    </r>
    <r>
      <rPr>
        <b/>
        <vertAlign val="subscript"/>
        <sz val="14"/>
        <color theme="1"/>
        <rFont val="Calibri"/>
        <family val="2"/>
        <scheme val="minor"/>
      </rPr>
      <t>x</t>
    </r>
    <r>
      <rPr>
        <b/>
        <sz val="14"/>
        <color theme="1"/>
        <rFont val="Calibri"/>
        <family val="2"/>
        <scheme val="minor"/>
      </rPr>
      <t xml:space="preserve"> = </t>
    </r>
  </si>
  <si>
    <r>
      <t>P</t>
    </r>
    <r>
      <rPr>
        <b/>
        <vertAlign val="subscript"/>
        <sz val="14"/>
        <color theme="1"/>
        <rFont val="Calibri"/>
        <family val="2"/>
        <scheme val="minor"/>
      </rPr>
      <t>y</t>
    </r>
    <r>
      <rPr>
        <b/>
        <sz val="14"/>
        <color theme="1"/>
        <rFont val="Calibri"/>
        <family val="2"/>
        <scheme val="minor"/>
      </rPr>
      <t xml:space="preserve"> = </t>
    </r>
  </si>
  <si>
    <t xml:space="preserve">L1 = </t>
  </si>
  <si>
    <t xml:space="preserve">L2 = </t>
  </si>
  <si>
    <t xml:space="preserve"> </t>
  </si>
  <si>
    <t>J1</t>
  </si>
  <si>
    <t>J2</t>
  </si>
  <si>
    <t>X</t>
  </si>
  <si>
    <t>Y</t>
  </si>
  <si>
    <t>end-effector</t>
  </si>
  <si>
    <t>Target</t>
  </si>
  <si>
    <t>rad</t>
  </si>
  <si>
    <t>deg</t>
  </si>
  <si>
    <t>AOC - Trabalho 1</t>
  </si>
  <si>
    <r>
      <rPr>
        <b/>
        <sz val="14"/>
        <color rgb="FF0000FF"/>
        <rFont val="Calibri"/>
        <family val="2"/>
        <scheme val="minor"/>
      </rPr>
      <t xml:space="preserve">P5. </t>
    </r>
    <r>
      <rPr>
        <b/>
        <sz val="14"/>
        <color theme="1"/>
        <rFont val="Calibri"/>
        <family val="2"/>
        <scheme val="minor"/>
      </rPr>
      <t>Controlador de Braço Robótico 2D (Cinemática Inversa)</t>
    </r>
  </si>
  <si>
    <r>
      <rPr>
        <b/>
        <sz val="14"/>
        <color theme="1"/>
        <rFont val="Symbol"/>
        <family val="1"/>
        <charset val="2"/>
      </rPr>
      <t>j</t>
    </r>
    <r>
      <rPr>
        <b/>
        <sz val="14"/>
        <color theme="1"/>
        <rFont val="Calibri"/>
        <family val="2"/>
        <scheme val="minor"/>
      </rPr>
      <t xml:space="preserve"> = </t>
    </r>
  </si>
  <si>
    <t>Dim. Braço</t>
  </si>
  <si>
    <t>Entradas:</t>
  </si>
  <si>
    <t>Estado:</t>
  </si>
  <si>
    <t>Coordenadas
Calculadas</t>
  </si>
  <si>
    <r>
      <t>cos(</t>
    </r>
    <r>
      <rPr>
        <b/>
        <sz val="14"/>
        <color theme="1"/>
        <rFont val="Symbol"/>
        <family val="1"/>
        <charset val="2"/>
      </rPr>
      <t>j</t>
    </r>
    <r>
      <rPr>
        <b/>
        <sz val="14"/>
        <color theme="1"/>
        <rFont val="Calibri"/>
        <family val="2"/>
        <scheme val="minor"/>
      </rPr>
      <t>) =</t>
    </r>
  </si>
  <si>
    <t>Py/Px =</t>
  </si>
  <si>
    <r>
      <t>cos(</t>
    </r>
    <r>
      <rPr>
        <b/>
        <sz val="14"/>
        <color theme="1"/>
        <rFont val="Symbol"/>
        <family val="1"/>
        <charset val="2"/>
      </rPr>
      <t>q</t>
    </r>
    <r>
      <rPr>
        <b/>
        <vertAlign val="sub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) =</t>
    </r>
  </si>
  <si>
    <t>Cálculos Preliminares</t>
  </si>
  <si>
    <t>Cálculos dos Ângulos</t>
  </si>
  <si>
    <t>^2</t>
  </si>
  <si>
    <r>
      <rPr>
        <b/>
        <sz val="14"/>
        <color theme="1"/>
        <rFont val="Symbol"/>
        <family val="1"/>
        <charset val="2"/>
      </rPr>
      <t>b</t>
    </r>
    <r>
      <rPr>
        <b/>
        <sz val="14"/>
        <color theme="1"/>
        <rFont val="Calibri"/>
        <family val="2"/>
        <scheme val="minor"/>
      </rPr>
      <t xml:space="preserve"> = </t>
    </r>
  </si>
  <si>
    <t>Verificando Posição do end-effector</t>
  </si>
  <si>
    <t>Calculando atan2 a partir de arctan:</t>
  </si>
  <si>
    <t>Ref. https://en.wikipedia.org/wiki/Atan2</t>
  </si>
  <si>
    <t>Px</t>
  </si>
  <si>
    <t>Py</t>
  </si>
  <si>
    <t>Coordenada
Desejada</t>
  </si>
  <si>
    <t>L1</t>
  </si>
  <si>
    <t>L2</t>
  </si>
  <si>
    <t>Comprimentos dos Elos</t>
  </si>
  <si>
    <t xml:space="preserve">Fora de alcance (muito perto) </t>
  </si>
  <si>
    <t>Fora de alcance (muito longe)</t>
  </si>
  <si>
    <t>Plano de Testes:</t>
  </si>
  <si>
    <r>
      <rPr>
        <b/>
        <sz val="14"/>
        <color theme="1"/>
        <rFont val="Calibri"/>
        <family val="2"/>
        <scheme val="minor"/>
      </rPr>
      <t>tan(</t>
    </r>
    <r>
      <rPr>
        <b/>
        <sz val="14"/>
        <color theme="1"/>
        <rFont val="Symbol"/>
        <family val="1"/>
        <charset val="2"/>
      </rPr>
      <t xml:space="preserve">b/ </t>
    </r>
    <r>
      <rPr>
        <b/>
        <sz val="14"/>
        <color theme="1"/>
        <rFont val="Calibri"/>
        <family val="2"/>
        <scheme val="minor"/>
      </rPr>
      <t>2) =</t>
    </r>
  </si>
  <si>
    <r>
      <rPr>
        <b/>
        <sz val="14"/>
        <color theme="1"/>
        <rFont val="Calibri"/>
        <family val="2"/>
        <scheme val="minor"/>
      </rPr>
      <t>tan(</t>
    </r>
    <r>
      <rPr>
        <b/>
        <sz val="14"/>
        <color theme="1"/>
        <rFont val="Symbol"/>
        <family val="1"/>
        <charset val="2"/>
      </rPr>
      <t>b</t>
    </r>
    <r>
      <rPr>
        <b/>
        <sz val="14"/>
        <color theme="1"/>
        <rFont val="Calibri"/>
        <family val="2"/>
        <scheme val="minor"/>
      </rPr>
      <t>/ 2) =</t>
    </r>
  </si>
  <si>
    <r>
      <t>θ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</si>
  <si>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θ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</si>
  <si>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-</t>
  </si>
  <si>
    <t>* resultados obtidos usando MS Excel</t>
  </si>
  <si>
    <t>Erro Absoluto
(em graus)</t>
  </si>
  <si>
    <t xml:space="preserve">Resultados Obtidos 
(ângulos em graus) </t>
  </si>
  <si>
    <t>Resultados Esperados 
(ângulos em graus)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</si>
</sst>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0000E+00"/>
    <numFmt numFmtId="167" formatCode="0.000\°"/>
    <numFmt numFmtId="168" formatCode="0.000"/>
  </numFmts>
  <fonts count="1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Symbol"/>
      <family val="1"/>
      <charset val="2"/>
    </font>
    <font>
      <b/>
      <vertAlign val="subscript"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theme="1"/>
      <name val="Calibri"/>
      <family val="2"/>
      <charset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1"/>
      <charset val="2"/>
      <scheme val="minor"/>
    </font>
    <font>
      <sz val="14"/>
      <color rgb="FF0070C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/>
    </xf>
    <xf numFmtId="0" fontId="1" fillId="2" borderId="0" xfId="0" applyFont="1" applyFill="1"/>
    <xf numFmtId="164" fontId="0" fillId="2" borderId="0" xfId="0" applyNumberFormat="1" applyFill="1"/>
    <xf numFmtId="0" fontId="0" fillId="2" borderId="1" xfId="0" applyFill="1" applyBorder="1"/>
    <xf numFmtId="164" fontId="0" fillId="2" borderId="5" xfId="0" applyNumberFormat="1" applyFill="1" applyBorder="1"/>
    <xf numFmtId="164" fontId="0" fillId="2" borderId="7" xfId="0" applyNumberFormat="1" applyFill="1" applyBorder="1"/>
    <xf numFmtId="0" fontId="0" fillId="2" borderId="9" xfId="0" applyFill="1" applyBorder="1"/>
    <xf numFmtId="164" fontId="0" fillId="2" borderId="10" xfId="0" applyNumberFormat="1" applyFill="1" applyBorder="1"/>
    <xf numFmtId="0" fontId="0" fillId="2" borderId="5" xfId="0" applyFill="1" applyBorder="1"/>
    <xf numFmtId="0" fontId="0" fillId="2" borderId="10" xfId="0" applyFill="1" applyBorder="1"/>
    <xf numFmtId="0" fontId="0" fillId="2" borderId="7" xfId="0" applyFill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5" borderId="9" xfId="0" applyFont="1" applyFill="1" applyBorder="1" applyAlignment="1">
      <alignment horizontal="right"/>
    </xf>
    <xf numFmtId="165" fontId="4" fillId="3" borderId="4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0" fillId="2" borderId="2" xfId="0" applyNumberFormat="1" applyFill="1" applyBorder="1"/>
    <xf numFmtId="0" fontId="5" fillId="2" borderId="0" xfId="0" applyFont="1" applyFill="1" applyAlignment="1">
      <alignment vertical="center"/>
    </xf>
    <xf numFmtId="0" fontId="12" fillId="2" borderId="10" xfId="0" applyFont="1" applyFill="1" applyBorder="1" applyAlignment="1">
      <alignment horizontal="center"/>
    </xf>
    <xf numFmtId="0" fontId="11" fillId="2" borderId="0" xfId="0" applyFont="1" applyFill="1" applyAlignment="1">
      <alignment vertical="top"/>
    </xf>
    <xf numFmtId="0" fontId="13" fillId="2" borderId="0" xfId="0" applyFont="1" applyFill="1"/>
    <xf numFmtId="0" fontId="14" fillId="2" borderId="0" xfId="0" applyFont="1" applyFill="1"/>
    <xf numFmtId="0" fontId="12" fillId="2" borderId="16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167" fontId="0" fillId="2" borderId="1" xfId="0" applyNumberFormat="1" applyFill="1" applyBorder="1" applyAlignment="1">
      <alignment horizontal="center"/>
    </xf>
    <xf numFmtId="167" fontId="0" fillId="2" borderId="9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168" fontId="0" fillId="5" borderId="1" xfId="0" applyNumberFormat="1" applyFill="1" applyBorder="1" applyAlignment="1">
      <alignment horizontal="center"/>
    </xf>
    <xf numFmtId="2" fontId="0" fillId="2" borderId="0" xfId="0" applyNumberFormat="1" applyFill="1"/>
    <xf numFmtId="2" fontId="0" fillId="2" borderId="4" xfId="0" applyNumberFormat="1" applyFill="1" applyBorder="1"/>
    <xf numFmtId="2" fontId="0" fillId="2" borderId="1" xfId="0" applyNumberFormat="1" applyFill="1" applyBorder="1"/>
    <xf numFmtId="164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7" fontId="0" fillId="2" borderId="4" xfId="0" applyNumberFormat="1" applyFill="1" applyBorder="1" applyAlignment="1">
      <alignment horizontal="center"/>
    </xf>
    <xf numFmtId="167" fontId="17" fillId="2" borderId="4" xfId="0" applyNumberFormat="1" applyFont="1" applyFill="1" applyBorder="1" applyAlignment="1">
      <alignment horizontal="center"/>
    </xf>
    <xf numFmtId="166" fontId="17" fillId="2" borderId="4" xfId="0" applyNumberFormat="1" applyFont="1" applyFill="1" applyBorder="1"/>
    <xf numFmtId="166" fontId="17" fillId="2" borderId="5" xfId="0" applyNumberFormat="1" applyFont="1" applyFill="1" applyBorder="1"/>
    <xf numFmtId="167" fontId="17" fillId="2" borderId="1" xfId="0" applyNumberFormat="1" applyFont="1" applyFill="1" applyBorder="1" applyAlignment="1">
      <alignment horizontal="center"/>
    </xf>
    <xf numFmtId="166" fontId="17" fillId="2" borderId="23" xfId="0" applyNumberFormat="1" applyFont="1" applyFill="1" applyBorder="1"/>
    <xf numFmtId="166" fontId="17" fillId="2" borderId="24" xfId="0" applyNumberFormat="1" applyFont="1" applyFill="1" applyBorder="1"/>
    <xf numFmtId="0" fontId="17" fillId="2" borderId="1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167" fontId="17" fillId="2" borderId="9" xfId="0" applyNumberFormat="1" applyFont="1" applyFill="1" applyBorder="1" applyAlignment="1">
      <alignment horizontal="center"/>
    </xf>
    <xf numFmtId="166" fontId="17" fillId="2" borderId="15" xfId="0" applyNumberFormat="1" applyFont="1" applyFill="1" applyBorder="1"/>
    <xf numFmtId="166" fontId="17" fillId="2" borderId="25" xfId="0" applyNumberFormat="1" applyFont="1" applyFill="1" applyBorder="1"/>
    <xf numFmtId="0" fontId="0" fillId="2" borderId="0" xfId="0" applyFill="1" applyAlignment="1">
      <alignment horizontal="center"/>
    </xf>
    <xf numFmtId="0" fontId="1" fillId="6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textRotation="90"/>
    </xf>
    <xf numFmtId="0" fontId="8" fillId="7" borderId="6" xfId="0" applyFont="1" applyFill="1" applyBorder="1" applyAlignment="1">
      <alignment horizontal="center" vertical="center" textRotation="90"/>
    </xf>
    <xf numFmtId="0" fontId="8" fillId="7" borderId="8" xfId="0" applyFont="1" applyFill="1" applyBorder="1" applyAlignment="1">
      <alignment horizontal="center" vertical="center" textRotation="90"/>
    </xf>
    <xf numFmtId="0" fontId="7" fillId="4" borderId="3" xfId="0" applyFont="1" applyFill="1" applyBorder="1" applyAlignment="1">
      <alignment horizontal="center" vertical="center" textRotation="90" wrapText="1"/>
    </xf>
    <xf numFmtId="0" fontId="7" fillId="4" borderId="6" xfId="0" applyFont="1" applyFill="1" applyBorder="1" applyAlignment="1">
      <alignment horizontal="center" vertical="center" textRotation="90" wrapText="1"/>
    </xf>
    <xf numFmtId="0" fontId="7" fillId="4" borderId="8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right"/>
    </xf>
    <xf numFmtId="0" fontId="1" fillId="3" borderId="9" xfId="0" applyFont="1" applyFill="1" applyBorder="1" applyAlignment="1">
      <alignment horizontal="right"/>
    </xf>
    <xf numFmtId="0" fontId="10" fillId="3" borderId="6" xfId="0" applyFont="1" applyFill="1" applyBorder="1" applyAlignment="1">
      <alignment horizontal="right"/>
    </xf>
    <xf numFmtId="0" fontId="1" fillId="3" borderId="6" xfId="0" applyFont="1" applyFill="1" applyBorder="1" applyAlignment="1">
      <alignment horizontal="right"/>
    </xf>
    <xf numFmtId="0" fontId="1" fillId="3" borderId="8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right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6" fillId="3" borderId="3" xfId="0" applyFont="1" applyFill="1" applyBorder="1" applyAlignment="1">
      <alignment horizontal="right"/>
    </xf>
    <xf numFmtId="0" fontId="6" fillId="3" borderId="12" xfId="0" applyFont="1" applyFill="1" applyBorder="1" applyAlignment="1">
      <alignment horizontal="right"/>
    </xf>
    <xf numFmtId="0" fontId="6" fillId="3" borderId="14" xfId="0" applyFont="1" applyFill="1" applyBorder="1" applyAlignment="1">
      <alignment horizontal="right"/>
    </xf>
    <xf numFmtId="0" fontId="6" fillId="3" borderId="21" xfId="0" applyFont="1" applyFill="1" applyBorder="1" applyAlignment="1">
      <alignment horizontal="right"/>
    </xf>
    <xf numFmtId="0" fontId="1" fillId="3" borderId="15" xfId="0" applyFont="1" applyFill="1" applyBorder="1" applyAlignment="1">
      <alignment horizontal="right"/>
    </xf>
    <xf numFmtId="0" fontId="8" fillId="7" borderId="16" xfId="0" applyFont="1" applyFill="1" applyBorder="1" applyAlignment="1">
      <alignment horizontal="center" vertical="center" textRotation="90" wrapText="1"/>
    </xf>
    <xf numFmtId="0" fontId="8" fillId="7" borderId="0" xfId="0" applyFont="1" applyFill="1" applyAlignment="1">
      <alignment horizontal="center" vertical="center" textRotation="90" wrapText="1"/>
    </xf>
    <xf numFmtId="0" fontId="8" fillId="7" borderId="17" xfId="0" applyFont="1" applyFill="1" applyBorder="1" applyAlignment="1">
      <alignment horizontal="center" vertical="center" textRotation="90" wrapText="1"/>
    </xf>
    <xf numFmtId="0" fontId="8" fillId="7" borderId="18" xfId="0" applyFont="1" applyFill="1" applyBorder="1" applyAlignment="1">
      <alignment horizontal="center" vertical="center" textRotation="90" wrapText="1"/>
    </xf>
    <xf numFmtId="0" fontId="1" fillId="3" borderId="19" xfId="0" applyFont="1" applyFill="1" applyBorder="1" applyAlignment="1">
      <alignment horizontal="right"/>
    </xf>
    <xf numFmtId="0" fontId="1" fillId="3" borderId="20" xfId="0" applyFont="1" applyFill="1" applyBorder="1" applyAlignment="1">
      <alignment horizontal="right"/>
    </xf>
    <xf numFmtId="0" fontId="1" fillId="3" borderId="13" xfId="0" applyFont="1" applyFill="1" applyBorder="1" applyAlignment="1">
      <alignment horizontal="right"/>
    </xf>
    <xf numFmtId="0" fontId="1" fillId="3" borderId="12" xfId="0" applyFont="1" applyFill="1" applyBorder="1" applyAlignment="1">
      <alignment horizontal="right"/>
    </xf>
    <xf numFmtId="0" fontId="0" fillId="2" borderId="22" xfId="0" applyFill="1" applyBorder="1" applyAlignment="1">
      <alignment horizontal="center"/>
    </xf>
    <xf numFmtId="0" fontId="9" fillId="3" borderId="4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center" wrapText="1"/>
    </xf>
    <xf numFmtId="0" fontId="9" fillId="3" borderId="6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Target</c:v>
          </c:tx>
          <c:spPr>
            <a:ln w="25400" cap="rnd">
              <a:noFill/>
              <a:round/>
            </a:ln>
            <a:effectLst/>
          </c:spPr>
          <c:marker>
            <c:symbol val="plus"/>
            <c:size val="16"/>
            <c:spPr>
              <a:noFill/>
              <a:ln w="25400">
                <a:solidFill>
                  <a:srgbClr val="0000FF"/>
                </a:solidFill>
              </a:ln>
              <a:effectLst/>
            </c:spPr>
          </c:marker>
          <c:xVal>
            <c:numRef>
              <c:f>'Planilha de Cálculos'!$F$4</c:f>
              <c:numCache>
                <c:formatCode>0.00</c:formatCode>
                <c:ptCount val="1"/>
                <c:pt idx="0">
                  <c:v>12</c:v>
                </c:pt>
              </c:numCache>
            </c:numRef>
          </c:xVal>
          <c:yVal>
            <c:numRef>
              <c:f>'Planilha de Cálculos'!$F$5</c:f>
              <c:numCache>
                <c:formatCode>0.00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99-4966-926F-CB9A8C6AC3C1}"/>
            </c:ext>
          </c:extLst>
        </c:ser>
        <c:ser>
          <c:idx val="1"/>
          <c:order val="1"/>
          <c:tx>
            <c:v>L1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22225">
                <a:solidFill>
                  <a:srgbClr val="C00000"/>
                </a:solidFill>
              </a:ln>
              <a:effectLst/>
            </c:spPr>
          </c:marker>
          <c:xVal>
            <c:numRef>
              <c:f>'Planilha de Cálculos'!$F$25:$F$26</c:f>
              <c:numCache>
                <c:formatCode>General</c:formatCode>
                <c:ptCount val="2"/>
                <c:pt idx="0">
                  <c:v>0</c:v>
                </c:pt>
                <c:pt idx="1">
                  <c:v>4.5467001677156791</c:v>
                </c:pt>
              </c:numCache>
            </c:numRef>
          </c:xVal>
          <c:yVal>
            <c:numRef>
              <c:f>'Planilha de Cálculos'!$G$25:$G$26</c:f>
              <c:numCache>
                <c:formatCode>General</c:formatCode>
                <c:ptCount val="2"/>
                <c:pt idx="0">
                  <c:v>0</c:v>
                </c:pt>
                <c:pt idx="1">
                  <c:v>8.9065996645686401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99-4966-926F-CB9A8C6AC3C1}"/>
            </c:ext>
          </c:extLst>
        </c:ser>
        <c:ser>
          <c:idx val="2"/>
          <c:order val="2"/>
          <c:tx>
            <c:v>L2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x"/>
            <c:size val="10"/>
            <c:spPr>
              <a:noFill/>
              <a:ln w="22225">
                <a:solidFill>
                  <a:srgbClr val="00B050"/>
                </a:solidFill>
              </a:ln>
              <a:effectLst/>
            </c:spPr>
          </c:marker>
          <c:xVal>
            <c:numRef>
              <c:f>'Planilha de Cálculos'!$F$26:$F$27</c:f>
              <c:numCache>
                <c:formatCode>General</c:formatCode>
                <c:ptCount val="2"/>
                <c:pt idx="0">
                  <c:v>4.5467001677156791</c:v>
                </c:pt>
                <c:pt idx="1">
                  <c:v>12</c:v>
                </c:pt>
              </c:numCache>
            </c:numRef>
          </c:xVal>
          <c:yVal>
            <c:numRef>
              <c:f>'Planilha de Cálculos'!$G$26:$G$27</c:f>
              <c:numCache>
                <c:formatCode>General</c:formatCode>
                <c:ptCount val="2"/>
                <c:pt idx="0">
                  <c:v>8.9065996645686401</c:v>
                </c:pt>
                <c:pt idx="1">
                  <c:v>6.0000000000000027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99-4966-926F-CB9A8C6AC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623375"/>
        <c:axId val="1032621935"/>
      </c:scatterChart>
      <c:valAx>
        <c:axId val="1032623375"/>
        <c:scaling>
          <c:orientation val="minMax"/>
          <c:max val="18"/>
          <c:min val="-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2621935"/>
        <c:crosses val="autoZero"/>
        <c:crossBetween val="midCat"/>
        <c:majorUnit val="2"/>
        <c:minorUnit val="1"/>
      </c:valAx>
      <c:valAx>
        <c:axId val="1032621935"/>
        <c:scaling>
          <c:orientation val="minMax"/>
          <c:max val="18"/>
          <c:min val="-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2623375"/>
        <c:crosses val="autoZero"/>
        <c:crossBetween val="midCat"/>
        <c:majorUnit val="2"/>
        <c:min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00FF"/>
      </a:solidFill>
      <a:round/>
    </a:ln>
    <a:effectLst/>
  </c:spPr>
  <c:txPr>
    <a:bodyPr/>
    <a:lstStyle/>
    <a:p>
      <a:pPr>
        <a:defRPr sz="1600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504825</xdr:colOff>
      <xdr:row>0</xdr:row>
      <xdr:rowOff>76201</xdr:rowOff>
    </xdr:from>
    <xdr:to>
      <xdr:col>30</xdr:col>
      <xdr:colOff>263287</xdr:colOff>
      <xdr:row>25</xdr:row>
      <xdr:rowOff>76201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85BBE3-3888-4819-6611-083005B22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0</xdr:colOff>
      <xdr:row>16</xdr:row>
      <xdr:rowOff>19050</xdr:rowOff>
    </xdr:from>
    <xdr:ext cx="1143000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9E7A8D-A305-5F06-86B1-0CC2A5455B4F}"/>
                </a:ext>
              </a:extLst>
            </xdr:cNvPr>
            <xdr:cNvSpPr txBox="1"/>
          </xdr:nvSpPr>
          <xdr:spPr>
            <a:xfrm>
              <a:off x="3971925" y="3981450"/>
              <a:ext cx="1143000" cy="281808"/>
            </a:xfrm>
            <a:prstGeom prst="rect">
              <a:avLst/>
            </a:prstGeom>
            <a:noFill/>
            <a:ln>
              <a:solidFill>
                <a:srgbClr val="00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8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pt-BR" sz="18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  <m:r>
                      <a:rPr lang="pt-BR" sz="18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pt-BR" sz="18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𝜑</m:t>
                    </m:r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9E7A8D-A305-5F06-86B1-0CC2A5455B4F}"/>
                </a:ext>
              </a:extLst>
            </xdr:cNvPr>
            <xdr:cNvSpPr txBox="1"/>
          </xdr:nvSpPr>
          <xdr:spPr>
            <a:xfrm>
              <a:off x="3971925" y="3981450"/>
              <a:ext cx="1143000" cy="281808"/>
            </a:xfrm>
            <a:prstGeom prst="rect">
              <a:avLst/>
            </a:prstGeom>
            <a:noFill/>
            <a:ln>
              <a:solidFill>
                <a:srgbClr val="00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𝜃_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pt-BR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=𝛽+𝜑</a:t>
              </a:r>
              <a:endParaRPr lang="pt-BR" sz="1800"/>
            </a:p>
          </xdr:txBody>
        </xdr:sp>
      </mc:Fallback>
    </mc:AlternateContent>
    <xdr:clientData/>
  </xdr:oneCellAnchor>
  <xdr:oneCellAnchor>
    <xdr:from>
      <xdr:col>9</xdr:col>
      <xdr:colOff>0</xdr:colOff>
      <xdr:row>17</xdr:row>
      <xdr:rowOff>100012</xdr:rowOff>
    </xdr:from>
    <xdr:ext cx="4514890" cy="64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B377A61-5E1C-D2F8-44A6-3B0B6C1B586A}"/>
                </a:ext>
              </a:extLst>
            </xdr:cNvPr>
            <xdr:cNvSpPr txBox="1"/>
          </xdr:nvSpPr>
          <xdr:spPr>
            <a:xfrm>
              <a:off x="3971925" y="4243387"/>
              <a:ext cx="4514890" cy="645433"/>
            </a:xfrm>
            <a:prstGeom prst="rect">
              <a:avLst/>
            </a:prstGeom>
            <a:noFill/>
            <a:ln>
              <a:solidFill>
                <a:srgbClr val="00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8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8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𝜃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pt-BR" sz="18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𝑎𝑡𝑎𝑛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d>
                      <m:d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𝑃𝑦</m:t>
                        </m:r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𝑃𝑥</m:t>
                        </m:r>
                      </m:e>
                    </m:d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m:rPr>
                        <m:sty m:val="p"/>
                      </m:rPr>
                      <a:rPr lang="en-US" sz="18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acos</m:t>
                    </m:r>
                    <m:d>
                      <m:d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  <m:sup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p>
                              <m:sSupPr>
                                <m:ctrlP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  <m:sSub>
                              <m:sSubPr>
                                <m:ctrlP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den>
                        </m:f>
                      </m:e>
                    </m:d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B377A61-5E1C-D2F8-44A6-3B0B6C1B586A}"/>
                </a:ext>
              </a:extLst>
            </xdr:cNvPr>
            <xdr:cNvSpPr txBox="1"/>
          </xdr:nvSpPr>
          <xdr:spPr>
            <a:xfrm>
              <a:off x="3971925" y="4243387"/>
              <a:ext cx="4514890" cy="645433"/>
            </a:xfrm>
            <a:prstGeom prst="rect">
              <a:avLst/>
            </a:prstGeom>
            <a:noFill/>
            <a:ln>
              <a:solidFill>
                <a:srgbClr val="00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8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𝜃_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pt-BR" sz="18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𝑎𝑡𝑎𝑛2(𝑃𝑦,𝑃𝑥)+acos(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(𝐷^2+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〖𝐿_1〗^2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〖𝐿_2〗^2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)/(2𝐷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𝐿_1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pt-BR" sz="1800"/>
            </a:p>
          </xdr:txBody>
        </xdr:sp>
      </mc:Fallback>
    </mc:AlternateContent>
    <xdr:clientData/>
  </xdr:oneCellAnchor>
  <xdr:oneCellAnchor>
    <xdr:from>
      <xdr:col>9</xdr:col>
      <xdr:colOff>0</xdr:colOff>
      <xdr:row>14</xdr:row>
      <xdr:rowOff>157162</xdr:rowOff>
    </xdr:from>
    <xdr:ext cx="1934760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AB20481-6AB3-5763-E781-2FB21076B9BD}"/>
                </a:ext>
              </a:extLst>
            </xdr:cNvPr>
            <xdr:cNvSpPr txBox="1"/>
          </xdr:nvSpPr>
          <xdr:spPr>
            <a:xfrm>
              <a:off x="3971925" y="3614737"/>
              <a:ext cx="1934760" cy="281808"/>
            </a:xfrm>
            <a:prstGeom prst="rect">
              <a:avLst/>
            </a:prstGeom>
            <a:noFill/>
            <a:ln>
              <a:solidFill>
                <a:srgbClr val="00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8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  <m:r>
                      <a:rPr lang="pt-BR" sz="18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𝑎𝑡𝑎𝑛</m:t>
                    </m:r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d>
                      <m:d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𝑃𝑦</m:t>
                        </m:r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𝑃𝑥</m:t>
                        </m:r>
                      </m:e>
                    </m:d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AB20481-6AB3-5763-E781-2FB21076B9BD}"/>
                </a:ext>
              </a:extLst>
            </xdr:cNvPr>
            <xdr:cNvSpPr txBox="1"/>
          </xdr:nvSpPr>
          <xdr:spPr>
            <a:xfrm>
              <a:off x="3971925" y="3614737"/>
              <a:ext cx="1934760" cy="281808"/>
            </a:xfrm>
            <a:prstGeom prst="rect">
              <a:avLst/>
            </a:prstGeom>
            <a:noFill/>
            <a:ln>
              <a:solidFill>
                <a:srgbClr val="00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𝛽=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𝑎𝑡𝑎𝑛2(𝑃𝑦,𝑃𝑥)</a:t>
              </a:r>
              <a:endParaRPr lang="pt-BR" sz="1800"/>
            </a:p>
          </xdr:txBody>
        </xdr:sp>
      </mc:Fallback>
    </mc:AlternateContent>
    <xdr:clientData/>
  </xdr:oneCellAnchor>
  <xdr:oneCellAnchor>
    <xdr:from>
      <xdr:col>12</xdr:col>
      <xdr:colOff>371475</xdr:colOff>
      <xdr:row>14</xdr:row>
      <xdr:rowOff>90487</xdr:rowOff>
    </xdr:from>
    <xdr:ext cx="2729913" cy="6524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0ADC01B-0E67-3B97-621E-74058F394067}"/>
                </a:ext>
              </a:extLst>
            </xdr:cNvPr>
            <xdr:cNvSpPr txBox="1"/>
          </xdr:nvSpPr>
          <xdr:spPr>
            <a:xfrm>
              <a:off x="6362700" y="3548062"/>
              <a:ext cx="2729913" cy="652486"/>
            </a:xfrm>
            <a:prstGeom prst="rect">
              <a:avLst/>
            </a:prstGeom>
            <a:noFill/>
            <a:ln>
              <a:solidFill>
                <a:srgbClr val="00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8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𝜑</m:t>
                    </m:r>
                    <m:r>
                      <a:rPr lang="pt-BR" sz="18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8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acos</m:t>
                    </m:r>
                    <m:d>
                      <m:d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  <m:sup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p>
                              <m:sSupPr>
                                <m:ctrlP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  <m:sSub>
                              <m:sSubPr>
                                <m:ctrlP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den>
                        </m:f>
                      </m:e>
                    </m:d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0ADC01B-0E67-3B97-621E-74058F394067}"/>
                </a:ext>
              </a:extLst>
            </xdr:cNvPr>
            <xdr:cNvSpPr txBox="1"/>
          </xdr:nvSpPr>
          <xdr:spPr>
            <a:xfrm>
              <a:off x="6362700" y="3548062"/>
              <a:ext cx="2729913" cy="652486"/>
            </a:xfrm>
            <a:prstGeom prst="rect">
              <a:avLst/>
            </a:prstGeom>
            <a:noFill/>
            <a:ln>
              <a:solidFill>
                <a:srgbClr val="00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𝜑=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acos((𝐷^2+〖𝐿_1〗^2−〖𝐿_2〗^2)/(2𝐷𝐿_1 ))</a:t>
              </a:r>
              <a:endParaRPr lang="pt-BR" sz="1800"/>
            </a:p>
          </xdr:txBody>
        </xdr:sp>
      </mc:Fallback>
    </mc:AlternateContent>
    <xdr:clientData/>
  </xdr:oneCellAnchor>
  <xdr:twoCellAnchor editAs="oneCell">
    <xdr:from>
      <xdr:col>11</xdr:col>
      <xdr:colOff>285751</xdr:colOff>
      <xdr:row>0</xdr:row>
      <xdr:rowOff>104777</xdr:rowOff>
    </xdr:from>
    <xdr:to>
      <xdr:col>17</xdr:col>
      <xdr:colOff>133350</xdr:colOff>
      <xdr:row>13</xdr:row>
      <xdr:rowOff>213912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48A4C93-61E5-303D-69B8-91E5D6BE6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7376" y="104777"/>
          <a:ext cx="3695699" cy="3357160"/>
        </a:xfrm>
        <a:prstGeom prst="rect">
          <a:avLst/>
        </a:prstGeom>
        <a:solidFill>
          <a:schemeClr val="bg1"/>
        </a:solidFill>
        <a:ln w="38100">
          <a:solidFill>
            <a:srgbClr val="0000FF"/>
          </a:solidFill>
        </a:ln>
      </xdr:spPr>
    </xdr:pic>
    <xdr:clientData/>
  </xdr:twoCellAnchor>
  <xdr:oneCellAnchor>
    <xdr:from>
      <xdr:col>9</xdr:col>
      <xdr:colOff>0</xdr:colOff>
      <xdr:row>20</xdr:row>
      <xdr:rowOff>23812</xdr:rowOff>
    </xdr:from>
    <xdr:ext cx="2809038" cy="64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EF53941-0606-4DC0-B276-2C4776397E6E}"/>
                </a:ext>
              </a:extLst>
            </xdr:cNvPr>
            <xdr:cNvSpPr txBox="1"/>
          </xdr:nvSpPr>
          <xdr:spPr>
            <a:xfrm>
              <a:off x="3971925" y="4929187"/>
              <a:ext cx="2809038" cy="645433"/>
            </a:xfrm>
            <a:prstGeom prst="rect">
              <a:avLst/>
            </a:prstGeom>
            <a:noFill/>
            <a:ln>
              <a:solidFill>
                <a:srgbClr val="00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8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pt-BR" sz="18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𝜃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pt-BR" sz="18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m:rPr>
                        <m:sty m:val="p"/>
                      </m:rPr>
                      <a:rPr lang="en-US" sz="18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acos</m:t>
                    </m:r>
                    <m:d>
                      <m:d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e>
                              <m:sup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p>
                              <m:sSupPr>
                                <m:ctrlP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n-US" sz="18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sSub>
                              <m:sSubPr>
                                <m:ctrlP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den>
                        </m:f>
                      </m:e>
                    </m:d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EF53941-0606-4DC0-B276-2C4776397E6E}"/>
                </a:ext>
              </a:extLst>
            </xdr:cNvPr>
            <xdr:cNvSpPr txBox="1"/>
          </xdr:nvSpPr>
          <xdr:spPr>
            <a:xfrm>
              <a:off x="3971925" y="4929187"/>
              <a:ext cx="2809038" cy="645433"/>
            </a:xfrm>
            <a:prstGeom prst="rect">
              <a:avLst/>
            </a:prstGeom>
            <a:noFill/>
            <a:ln>
              <a:solidFill>
                <a:srgbClr val="00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8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𝜃_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pt-BR" sz="18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acos(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(𝐷^2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−〖𝐿_1〗^2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〖𝐿_2〗^2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)/(2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𝐿_1 𝐿_2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pt-BR" sz="1800"/>
            </a:p>
          </xdr:txBody>
        </xdr:sp>
      </mc:Fallback>
    </mc:AlternateContent>
    <xdr:clientData/>
  </xdr:oneCellAnchor>
  <xdr:oneCellAnchor>
    <xdr:from>
      <xdr:col>7</xdr:col>
      <xdr:colOff>57150</xdr:colOff>
      <xdr:row>7</xdr:row>
      <xdr:rowOff>214312</xdr:rowOff>
    </xdr:from>
    <xdr:ext cx="2052100" cy="3323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F55E8CF-2045-0527-BABE-D33B8B110527}"/>
                </a:ext>
              </a:extLst>
            </xdr:cNvPr>
            <xdr:cNvSpPr txBox="1"/>
          </xdr:nvSpPr>
          <xdr:spPr>
            <a:xfrm>
              <a:off x="3629025" y="1938337"/>
              <a:ext cx="2052100" cy="332399"/>
            </a:xfrm>
            <a:prstGeom prst="rect">
              <a:avLst/>
            </a:prstGeom>
            <a:noFill/>
            <a:ln>
              <a:solidFill>
                <a:srgbClr val="00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𝑠𝑞𝑟𝑡</m:t>
                    </m:r>
                    <m:d>
                      <m:dPr>
                        <m:ctrlP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sub>
                            </m:sSub>
                          </m:e>
                          <m:sup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p>
                          <m:sSup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sz="18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sub>
                            </m:sSub>
                          </m:e>
                          <m:sup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F55E8CF-2045-0527-BABE-D33B8B110527}"/>
                </a:ext>
              </a:extLst>
            </xdr:cNvPr>
            <xdr:cNvSpPr txBox="1"/>
          </xdr:nvSpPr>
          <xdr:spPr>
            <a:xfrm>
              <a:off x="3629025" y="1938337"/>
              <a:ext cx="2052100" cy="332399"/>
            </a:xfrm>
            <a:prstGeom prst="rect">
              <a:avLst/>
            </a:prstGeom>
            <a:noFill/>
            <a:ln>
              <a:solidFill>
                <a:srgbClr val="00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𝐷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=𝑠𝑞𝑟𝑡(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〖𝑃_𝑥〗^2+〖𝑃_𝑦〗^2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)</a:t>
              </a:r>
              <a:endParaRPr lang="pt-BR" sz="1800"/>
            </a:p>
          </xdr:txBody>
        </xdr:sp>
      </mc:Fallback>
    </mc:AlternateContent>
    <xdr:clientData/>
  </xdr:oneCellAnchor>
  <xdr:oneCellAnchor>
    <xdr:from>
      <xdr:col>8</xdr:col>
      <xdr:colOff>238125</xdr:colOff>
      <xdr:row>24</xdr:row>
      <xdr:rowOff>257175</xdr:rowOff>
    </xdr:from>
    <xdr:ext cx="5712846" cy="15555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DBCBFAB-E205-4B3D-BBF2-4139AC2EA500}"/>
                </a:ext>
              </a:extLst>
            </xdr:cNvPr>
            <xdr:cNvSpPr txBox="1"/>
          </xdr:nvSpPr>
          <xdr:spPr>
            <a:xfrm>
              <a:off x="3962400" y="6210300"/>
              <a:ext cx="5712846" cy="1555554"/>
            </a:xfrm>
            <a:prstGeom prst="rect">
              <a:avLst/>
            </a:prstGeom>
            <a:noFill/>
            <a:ln>
              <a:solidFill>
                <a:srgbClr val="00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𝑎𝑡𝑎𝑛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2</m:t>
                    </m:r>
                    <m:d>
                      <m:d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𝑦</m:t>
                        </m:r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𝑥</m:t>
                        </m:r>
                      </m:e>
                    </m:d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eqArrPr>
                          <m:e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𝑎𝑟𝑐𝑡𝑎𝑛</m:t>
                            </m:r>
                            <m:d>
                              <m:dPr>
                                <m:ctrlPr>
                                  <a:rPr lang="pt-BR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pt-BR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∞</m:t>
                                </m:r>
                              </m:e>
                            </m:d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                            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𝑠𝑒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 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𝑥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&lt;0 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𝑒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 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𝑦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=0</m:t>
                            </m:r>
                          </m:e>
                          <m:e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𝑎𝑟𝑐𝑡𝑎𝑛</m:t>
                            </m:r>
                            <m:d>
                              <m:dPr>
                                <m:ctrlP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ad>
                                      <m:radPr>
                                        <m:degHide m:val="on"/>
                                        <m:ctrlPr>
                                          <a:rPr lang="en-US" sz="16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  <a:cs typeface="+mn-cs"/>
                                          </a:rPr>
                                        </m:ctrlPr>
                                      </m:radPr>
                                      <m:deg/>
                                      <m:e>
                                        <m:sSup>
                                          <m:sSupPr>
                                            <m:ctrlPr>
                                              <a:rPr lang="en-US" sz="16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  <a:cs typeface="+mn-cs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lang="en-US" sz="16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  <a:cs typeface="+mn-cs"/>
                                              </a:rPr>
                                              <m:t>𝑥</m:t>
                                            </m:r>
                                          </m:e>
                                          <m:sup>
                                            <m:r>
                                              <a:rPr lang="en-US" sz="16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sup>
                                        </m:sSup>
                                        <m:r>
                                          <a:rPr lang="en-US" sz="16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  <a:cs typeface="+mn-cs"/>
                                          </a:rPr>
                                          <m:t>+</m:t>
                                        </m:r>
                                        <m:sSup>
                                          <m:sSupPr>
                                            <m:ctrlPr>
                                              <a:rPr lang="en-US" sz="16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  <a:cs typeface="+mn-cs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lang="en-US" sz="16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  <a:cs typeface="+mn-cs"/>
                                              </a:rPr>
                                              <m:t>𝑦</m:t>
                                            </m:r>
                                          </m:e>
                                          <m:sup>
                                            <m:r>
                                              <a:rPr lang="en-US" sz="16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sup>
                                        </m:sSup>
                                      </m:e>
                                    </m:rad>
                                    <m:r>
                                      <a:rPr lang="en-U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−</m:t>
                                    </m:r>
                                    <m:r>
                                      <a:rPr lang="en-U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𝑥</m:t>
                                    </m:r>
                                  </m:num>
                                  <m:den>
                                    <m:r>
                                      <a:rPr lang="en-U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𝑦</m:t>
                                    </m:r>
                                  </m:den>
                                </m:f>
                              </m:e>
                            </m:d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𝑠𝑒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 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𝑥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&lt;0 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𝑒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 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𝑦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≠0</m:t>
                            </m:r>
                          </m:e>
                          <m:e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</m:t>
                            </m:r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𝑎𝑟𝑐𝑡𝑎𝑛</m:t>
                            </m:r>
                            <m:d>
                              <m:dPr>
                                <m:ctrlPr>
                                  <a:rPr lang="en-US" sz="16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U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𝑦</m:t>
                                    </m:r>
                                  </m:num>
                                  <m:den>
                                    <m:rad>
                                      <m:radPr>
                                        <m:degHide m:val="on"/>
                                        <m:ctrlPr>
                                          <a:rPr lang="en-US" sz="16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  <a:cs typeface="+mn-cs"/>
                                          </a:rPr>
                                        </m:ctrlPr>
                                      </m:radPr>
                                      <m:deg/>
                                      <m:e>
                                        <m:sSup>
                                          <m:sSupPr>
                                            <m:ctrlPr>
                                              <a:rPr lang="en-US" sz="16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  <a:cs typeface="+mn-cs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lang="en-US" sz="16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  <a:cs typeface="+mn-cs"/>
                                              </a:rPr>
                                              <m:t>𝑥</m:t>
                                            </m:r>
                                          </m:e>
                                          <m:sup>
                                            <m:r>
                                              <a:rPr lang="en-US" sz="16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sup>
                                        </m:sSup>
                                        <m:r>
                                          <a:rPr lang="en-US" sz="16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  <a:cs typeface="+mn-cs"/>
                                          </a:rPr>
                                          <m:t>+</m:t>
                                        </m:r>
                                        <m:sSup>
                                          <m:sSupPr>
                                            <m:ctrlPr>
                                              <a:rPr lang="en-US" sz="16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  <a:cs typeface="+mn-cs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lang="en-US" sz="16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  <a:cs typeface="+mn-cs"/>
                                              </a:rPr>
                                              <m:t>𝑦</m:t>
                                            </m:r>
                                          </m:e>
                                          <m:sup>
                                            <m:r>
                                              <a:rPr lang="en-US" sz="16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  <a:cs typeface="+mn-cs"/>
                                              </a:rPr>
                                              <m:t>2</m:t>
                                            </m:r>
                                          </m:sup>
                                        </m:sSup>
                                      </m:e>
                                    </m:rad>
                                    <m:r>
                                      <a:rPr lang="en-U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en-US" sz="16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𝑥</m:t>
                                    </m:r>
                                  </m:den>
                                </m:f>
                              </m:e>
                            </m:d>
                            <m:r>
                              <a:rPr lang="en-US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  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𝑠𝑒𝑛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ã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𝑜</m:t>
                            </m:r>
                            <m:r>
                              <a:rPr lang="pt-BR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                    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pt-BR" sz="16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0DBCBFAB-E205-4B3D-BBF2-4139AC2EA500}"/>
                </a:ext>
              </a:extLst>
            </xdr:cNvPr>
            <xdr:cNvSpPr txBox="1"/>
          </xdr:nvSpPr>
          <xdr:spPr>
            <a:xfrm>
              <a:off x="3962400" y="6210300"/>
              <a:ext cx="5712846" cy="1555554"/>
            </a:xfrm>
            <a:prstGeom prst="rect">
              <a:avLst/>
            </a:prstGeom>
            <a:noFill/>
            <a:ln>
              <a:solidFill>
                <a:srgbClr val="0000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𝑎𝑡𝑎𝑛2(𝑦,𝑥)={█(</a:t>
              </a:r>
              <a:r>
                <a:rPr lang="pt-B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2𝑎𝑟𝑐𝑡𝑎𝑛(∞)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,  </a:t>
              </a:r>
              <a:r>
                <a:rPr lang="pt-B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                          𝑠𝑒 𝑥&lt;0 𝑒 𝑦=0@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2𝑎𝑟𝑐𝑡𝑎𝑛((√(𝑥^2+𝑦^2 )−𝑥)/𝑦),  </a:t>
              </a:r>
              <a:r>
                <a:rPr lang="pt-B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𝑠𝑒 𝑥&lt;0 𝑒 𝑦≠0@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2𝑎𝑟𝑐𝑡𝑎𝑛(𝑦/(√(𝑥^2+𝑦^2 )+𝑥)),  </a:t>
              </a:r>
              <a:r>
                <a:rPr lang="pt-B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𝑠𝑒𝑛ã𝑜                    )┤</a:t>
              </a:r>
              <a:endParaRPr lang="pt-BR" sz="160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C75A-DEF3-4900-A898-B623C42EB906}">
  <dimension ref="C1:Q40"/>
  <sheetViews>
    <sheetView tabSelected="1" zoomScaleNormal="100" workbookViewId="0">
      <selection activeCell="J4" sqref="J4"/>
    </sheetView>
  </sheetViews>
  <sheetFormatPr defaultRowHeight="18.75"/>
  <cols>
    <col min="1" max="1" width="1.42578125" style="1" customWidth="1"/>
    <col min="2" max="2" width="1.140625" style="1" customWidth="1"/>
    <col min="3" max="3" width="7.85546875" style="1" customWidth="1"/>
    <col min="4" max="4" width="9.140625" style="1"/>
    <col min="5" max="5" width="9.140625" style="2"/>
    <col min="6" max="7" width="11.7109375" style="1" customWidth="1"/>
    <col min="8" max="9" width="3.7109375" style="1" customWidth="1"/>
    <col min="10" max="10" width="9.140625" style="1"/>
    <col min="11" max="11" width="12" style="1" bestFit="1" customWidth="1"/>
    <col min="12" max="12" width="9.140625" style="1"/>
    <col min="13" max="13" width="12" style="1" bestFit="1" customWidth="1"/>
    <col min="14" max="16384" width="9.140625" style="1"/>
  </cols>
  <sheetData>
    <row r="1" spans="3:12" ht="23.25">
      <c r="D1" s="26" t="s">
        <v>16</v>
      </c>
    </row>
    <row r="2" spans="3:12">
      <c r="D2" s="3" t="s">
        <v>17</v>
      </c>
    </row>
    <row r="3" spans="3:12" ht="19.5" thickBot="1">
      <c r="G3" s="20" t="s">
        <v>28</v>
      </c>
    </row>
    <row r="4" spans="3:12" ht="20.25">
      <c r="C4" s="64" t="s">
        <v>20</v>
      </c>
      <c r="D4" s="60" t="s">
        <v>13</v>
      </c>
      <c r="E4" s="15" t="s">
        <v>3</v>
      </c>
      <c r="F4" s="41">
        <v>12</v>
      </c>
      <c r="G4" s="6">
        <f>F4^2</f>
        <v>144</v>
      </c>
    </row>
    <row r="5" spans="3:12" ht="20.25">
      <c r="C5" s="65"/>
      <c r="D5" s="61"/>
      <c r="E5" s="16" t="s">
        <v>4</v>
      </c>
      <c r="F5" s="42">
        <v>6</v>
      </c>
      <c r="G5" s="7">
        <f>F5^2</f>
        <v>36</v>
      </c>
    </row>
    <row r="6" spans="3:12">
      <c r="C6" s="65"/>
      <c r="D6" s="62" t="s">
        <v>19</v>
      </c>
      <c r="E6" s="16" t="s">
        <v>5</v>
      </c>
      <c r="F6" s="5">
        <v>10</v>
      </c>
      <c r="G6" s="7">
        <f>F6^2</f>
        <v>100</v>
      </c>
    </row>
    <row r="7" spans="3:12" ht="19.5" thickBot="1">
      <c r="C7" s="66"/>
      <c r="D7" s="63"/>
      <c r="E7" s="17" t="s">
        <v>6</v>
      </c>
      <c r="F7" s="8">
        <v>8</v>
      </c>
      <c r="G7" s="9">
        <f>F7^2</f>
        <v>64</v>
      </c>
    </row>
    <row r="8" spans="3:12" ht="19.5" thickBot="1">
      <c r="G8" s="20" t="s">
        <v>28</v>
      </c>
    </row>
    <row r="9" spans="3:12" ht="18.75" customHeight="1" thickBot="1">
      <c r="C9" s="86" t="s">
        <v>26</v>
      </c>
      <c r="D9" s="92" t="s">
        <v>0</v>
      </c>
      <c r="E9" s="93"/>
      <c r="F9" s="10">
        <f>SQRT(F4^2+F5^2)</f>
        <v>13.416407864998739</v>
      </c>
      <c r="G9" s="21">
        <f>F9^2</f>
        <v>180.00000000000003</v>
      </c>
    </row>
    <row r="10" spans="3:12" ht="19.5" thickBot="1">
      <c r="C10" s="87"/>
      <c r="D10" s="90" t="s">
        <v>21</v>
      </c>
      <c r="E10" s="91"/>
      <c r="F10" s="23" t="str">
        <f>IF(F9&lt;(F6-F7),"TooClose!",IF(F9&gt;(F6+F7),"TooFar!","Ok!"))</f>
        <v>Ok!</v>
      </c>
      <c r="G10" s="4"/>
    </row>
    <row r="11" spans="3:12" ht="19.5" thickBot="1">
      <c r="C11" s="87"/>
      <c r="G11" s="4"/>
    </row>
    <row r="12" spans="3:12">
      <c r="C12" s="87"/>
      <c r="D12" s="75" t="s">
        <v>23</v>
      </c>
      <c r="E12" s="76"/>
      <c r="F12" s="10">
        <f>(G9+G6-G7)/(2*F9*F6)</f>
        <v>0.80498447189992417</v>
      </c>
      <c r="G12" s="4"/>
      <c r="H12" s="81" t="s">
        <v>42</v>
      </c>
      <c r="I12" s="82"/>
      <c r="J12" s="76"/>
      <c r="K12" s="10">
        <f>(F5/(SQRT(F4^2+F5^2)+F4))</f>
        <v>0.23606797749978969</v>
      </c>
      <c r="L12" s="4"/>
    </row>
    <row r="13" spans="3:12" ht="19.5" thickBot="1">
      <c r="C13" s="87"/>
      <c r="D13" s="73" t="s">
        <v>24</v>
      </c>
      <c r="E13" s="70"/>
      <c r="F13" s="12">
        <f>F5/F4</f>
        <v>0.5</v>
      </c>
      <c r="G13" s="4"/>
      <c r="H13" s="83" t="s">
        <v>43</v>
      </c>
      <c r="I13" s="84"/>
      <c r="J13" s="85"/>
      <c r="K13" s="11">
        <f>(SQRT(G4+G5)-F4)/F5</f>
        <v>0.23606797749978981</v>
      </c>
    </row>
    <row r="14" spans="3:12" ht="21" thickBot="1">
      <c r="C14" s="87"/>
      <c r="D14" s="74" t="s">
        <v>25</v>
      </c>
      <c r="E14" s="71"/>
      <c r="F14" s="11">
        <f>(G9-G6-G7)/(2*F6*F7)</f>
        <v>0.10000000000000017</v>
      </c>
      <c r="G14" s="4"/>
    </row>
    <row r="15" spans="3:12" ht="19.5" thickBot="1">
      <c r="G15" s="4"/>
    </row>
    <row r="16" spans="3:12" ht="15.75" customHeight="1">
      <c r="C16" s="88" t="s">
        <v>27</v>
      </c>
      <c r="D16" s="79" t="s">
        <v>7</v>
      </c>
      <c r="E16" s="80"/>
      <c r="F16" s="18" t="s">
        <v>14</v>
      </c>
      <c r="G16" s="19" t="s">
        <v>15</v>
      </c>
    </row>
    <row r="17" spans="3:17">
      <c r="C17" s="89"/>
      <c r="D17" s="72" t="s">
        <v>29</v>
      </c>
      <c r="E17" s="70"/>
      <c r="F17" s="5">
        <f>ATAN2(F4, F5)</f>
        <v>0.46364760900080609</v>
      </c>
      <c r="G17" s="12">
        <f>DEGREES(F17)</f>
        <v>26.56505117707799</v>
      </c>
      <c r="H17" s="94">
        <f>2*ATAN(K12)</f>
        <v>0.46364760900080609</v>
      </c>
      <c r="I17" s="59"/>
    </row>
    <row r="18" spans="3:17">
      <c r="C18" s="89"/>
      <c r="D18" s="73" t="s">
        <v>18</v>
      </c>
      <c r="E18" s="70" t="s">
        <v>18</v>
      </c>
      <c r="F18" s="5">
        <f>ACOS(F12)</f>
        <v>0.63514703165510877</v>
      </c>
      <c r="G18" s="12">
        <f>DEGREES(F18)</f>
        <v>36.391244284099834</v>
      </c>
      <c r="H18" s="1">
        <f>ATAN(K12)</f>
        <v>0.23182380450040305</v>
      </c>
    </row>
    <row r="19" spans="3:17" ht="20.25">
      <c r="C19" s="89"/>
      <c r="D19" s="73" t="s">
        <v>1</v>
      </c>
      <c r="E19" s="70" t="s">
        <v>1</v>
      </c>
      <c r="F19" s="5">
        <f xml:space="preserve"> (ATAN2(F4, F5) + ACOS((G9+G6-G7)/(2*F9*F6)))</f>
        <v>1.0987946406559148</v>
      </c>
      <c r="G19" s="12">
        <f>DEGREES(F19)</f>
        <v>62.956295461177817</v>
      </c>
    </row>
    <row r="20" spans="3:17" ht="21" thickBot="1">
      <c r="C20" s="89"/>
      <c r="D20" s="74" t="s">
        <v>2</v>
      </c>
      <c r="E20" s="71" t="s">
        <v>2</v>
      </c>
      <c r="F20" s="8">
        <f>ACOS((G9-G6-G7)/(2*F6*F7))</f>
        <v>1.4706289056333366</v>
      </c>
      <c r="G20" s="11">
        <f>DEGREES(F20)</f>
        <v>84.260829522733204</v>
      </c>
    </row>
    <row r="23" spans="3:17" ht="19.5" thickBot="1">
      <c r="C23" s="3" t="s">
        <v>30</v>
      </c>
    </row>
    <row r="24" spans="3:17" ht="21">
      <c r="C24" s="67" t="s">
        <v>22</v>
      </c>
      <c r="D24" s="77"/>
      <c r="E24" s="78"/>
      <c r="F24" s="13" t="s">
        <v>10</v>
      </c>
      <c r="G24" s="14" t="s">
        <v>11</v>
      </c>
      <c r="J24" s="25" t="s">
        <v>31</v>
      </c>
    </row>
    <row r="25" spans="3:17" ht="24.75" customHeight="1">
      <c r="C25" s="68"/>
      <c r="D25" s="70" t="s">
        <v>8</v>
      </c>
      <c r="E25" s="70"/>
      <c r="F25" s="5">
        <v>0</v>
      </c>
      <c r="G25" s="12">
        <v>0</v>
      </c>
      <c r="J25" s="24" t="s">
        <v>32</v>
      </c>
    </row>
    <row r="26" spans="3:17" ht="24.75" customHeight="1">
      <c r="C26" s="68"/>
      <c r="D26" s="70" t="s">
        <v>9</v>
      </c>
      <c r="E26" s="70"/>
      <c r="F26" s="5">
        <f>F6*COS(F19)</f>
        <v>4.5467001677156791</v>
      </c>
      <c r="G26" s="12">
        <f>F6*SIN(F19)</f>
        <v>8.9065996645686401</v>
      </c>
      <c r="M26" s="22"/>
      <c r="Q26" s="22"/>
    </row>
    <row r="27" spans="3:17" ht="24.75" customHeight="1" thickBot="1">
      <c r="C27" s="69"/>
      <c r="D27" s="71" t="s">
        <v>12</v>
      </c>
      <c r="E27" s="71"/>
      <c r="F27" s="8">
        <f>F26+F7*COS(F19-F20)</f>
        <v>12</v>
      </c>
      <c r="G27" s="11">
        <f>G26+F7*SIN(F19-F20)</f>
        <v>6.0000000000000027</v>
      </c>
      <c r="P27" s="22"/>
      <c r="Q27" s="22"/>
    </row>
    <row r="28" spans="3:17">
      <c r="F28" s="27" t="str">
        <f>IF(F27=F4,"Ok!","NOK!")</f>
        <v>Ok!</v>
      </c>
      <c r="G28" s="27" t="str">
        <f>IF(G27=F5,"Ok!","NOK!")</f>
        <v>Ok!</v>
      </c>
      <c r="P28" s="22"/>
    </row>
    <row r="29" spans="3:17">
      <c r="P29" s="59"/>
      <c r="Q29" s="59"/>
    </row>
    <row r="30" spans="3:17">
      <c r="P30" s="59"/>
      <c r="Q30" s="59"/>
    </row>
    <row r="31" spans="3:17">
      <c r="E31" s="1"/>
      <c r="P31" s="22"/>
    </row>
    <row r="32" spans="3:17" ht="15">
      <c r="E32" s="1"/>
    </row>
    <row r="33" spans="5:5" ht="15">
      <c r="E33" s="1"/>
    </row>
    <row r="34" spans="5:5" ht="15">
      <c r="E34" s="1"/>
    </row>
    <row r="35" spans="5:5" ht="15">
      <c r="E35" s="1"/>
    </row>
    <row r="36" spans="5:5" ht="15">
      <c r="E36" s="1"/>
    </row>
    <row r="37" spans="5:5" ht="15">
      <c r="E37" s="1"/>
    </row>
    <row r="38" spans="5:5" ht="15">
      <c r="E38" s="1"/>
    </row>
    <row r="39" spans="5:5" ht="15">
      <c r="E39" s="1"/>
    </row>
    <row r="40" spans="5:5" ht="15">
      <c r="E40" s="1"/>
    </row>
  </sheetData>
  <mergeCells count="24">
    <mergeCell ref="D16:E16"/>
    <mergeCell ref="H12:J12"/>
    <mergeCell ref="H13:J13"/>
    <mergeCell ref="C9:C14"/>
    <mergeCell ref="C16:C20"/>
    <mergeCell ref="D10:E10"/>
    <mergeCell ref="D9:E9"/>
    <mergeCell ref="H17:I17"/>
    <mergeCell ref="P29:Q30"/>
    <mergeCell ref="D4:D5"/>
    <mergeCell ref="D6:D7"/>
    <mergeCell ref="C4:C7"/>
    <mergeCell ref="C24:C27"/>
    <mergeCell ref="D25:E25"/>
    <mergeCell ref="D26:E26"/>
    <mergeCell ref="D27:E27"/>
    <mergeCell ref="D17:E17"/>
    <mergeCell ref="D18:E18"/>
    <mergeCell ref="D19:E19"/>
    <mergeCell ref="D20:E20"/>
    <mergeCell ref="D12:E12"/>
    <mergeCell ref="D13:E13"/>
    <mergeCell ref="D14:E14"/>
    <mergeCell ref="D24:E24"/>
  </mergeCells>
  <conditionalFormatting sqref="F10">
    <cfRule type="cellIs" dxfId="1" priority="2" operator="equal">
      <formula>"Ok!"</formula>
    </cfRule>
  </conditionalFormatting>
  <conditionalFormatting sqref="F28:G28">
    <cfRule type="cellIs" dxfId="0" priority="1" operator="equal">
      <formula>"Ok!"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98FD-FC33-4A80-A779-D258C6CF0AEB}">
  <dimension ref="B1:L28"/>
  <sheetViews>
    <sheetView zoomScale="130" zoomScaleNormal="130" workbookViewId="0">
      <selection activeCell="H10" sqref="H10"/>
    </sheetView>
  </sheetViews>
  <sheetFormatPr defaultRowHeight="15"/>
  <cols>
    <col min="1" max="1" width="9.140625" style="1"/>
    <col min="2" max="2" width="4" style="1" customWidth="1"/>
    <col min="3" max="4" width="7" style="20" customWidth="1"/>
    <col min="5" max="6" width="6.85546875" style="20" customWidth="1"/>
    <col min="7" max="8" width="11.85546875" style="1" customWidth="1"/>
    <col min="9" max="10" width="11.7109375" style="1" customWidth="1"/>
    <col min="11" max="11" width="14.5703125" style="1" customWidth="1"/>
    <col min="12" max="12" width="14.7109375" style="1" customWidth="1"/>
    <col min="13" max="16384" width="9.140625" style="1"/>
  </cols>
  <sheetData>
    <row r="1" spans="2:12" ht="23.25">
      <c r="B1" s="26" t="s">
        <v>16</v>
      </c>
    </row>
    <row r="2" spans="2:12" ht="18.75">
      <c r="B2" s="3" t="s">
        <v>17</v>
      </c>
    </row>
    <row r="3" spans="2:12" ht="18.75">
      <c r="B3" s="3"/>
      <c r="C3" s="28" t="s">
        <v>41</v>
      </c>
    </row>
    <row r="4" spans="2:12" ht="15.75" thickBot="1">
      <c r="G4" s="40"/>
    </row>
    <row r="5" spans="2:12" ht="15" customHeight="1">
      <c r="C5" s="102" t="s">
        <v>38</v>
      </c>
      <c r="D5" s="95"/>
      <c r="E5" s="95" t="s">
        <v>35</v>
      </c>
      <c r="F5" s="95"/>
      <c r="G5" s="95" t="s">
        <v>50</v>
      </c>
      <c r="H5" s="95"/>
      <c r="I5" s="95" t="s">
        <v>49</v>
      </c>
      <c r="J5" s="95"/>
      <c r="K5" s="97" t="s">
        <v>48</v>
      </c>
      <c r="L5" s="98"/>
    </row>
    <row r="6" spans="2:12" ht="15" customHeight="1">
      <c r="C6" s="103"/>
      <c r="D6" s="96"/>
      <c r="E6" s="96"/>
      <c r="F6" s="96"/>
      <c r="G6" s="96"/>
      <c r="H6" s="96"/>
      <c r="I6" s="96"/>
      <c r="J6" s="96"/>
      <c r="K6" s="99"/>
      <c r="L6" s="100"/>
    </row>
    <row r="7" spans="2:12" ht="18.75" thickBot="1">
      <c r="C7" s="36" t="s">
        <v>36</v>
      </c>
      <c r="D7" s="37" t="s">
        <v>37</v>
      </c>
      <c r="E7" s="37" t="s">
        <v>33</v>
      </c>
      <c r="F7" s="37" t="s">
        <v>34</v>
      </c>
      <c r="G7" s="37" t="s">
        <v>44</v>
      </c>
      <c r="H7" s="37" t="s">
        <v>45</v>
      </c>
      <c r="I7" s="37" t="s">
        <v>44</v>
      </c>
      <c r="J7" s="37" t="s">
        <v>45</v>
      </c>
      <c r="K7" s="37" t="s">
        <v>44</v>
      </c>
      <c r="L7" s="38" t="s">
        <v>45</v>
      </c>
    </row>
    <row r="8" spans="2:12">
      <c r="C8" s="45">
        <v>10</v>
      </c>
      <c r="D8" s="46">
        <v>8</v>
      </c>
      <c r="E8" s="46">
        <v>12</v>
      </c>
      <c r="F8" s="46">
        <v>6</v>
      </c>
      <c r="G8" s="47">
        <v>62.956295461177817</v>
      </c>
      <c r="H8" s="47">
        <v>84.260829522733204</v>
      </c>
      <c r="I8" s="48">
        <v>62.956310000000002</v>
      </c>
      <c r="J8" s="48">
        <v>84.260825999999994</v>
      </c>
      <c r="K8" s="49">
        <f t="shared" ref="K8:L10" si="0">I8-G8</f>
        <v>1.4538822185272693E-5</v>
      </c>
      <c r="L8" s="50">
        <f t="shared" si="0"/>
        <v>-3.5227332091380958E-6</v>
      </c>
    </row>
    <row r="9" spans="2:12">
      <c r="C9" s="32">
        <v>10</v>
      </c>
      <c r="D9" s="33">
        <v>8</v>
      </c>
      <c r="E9" s="33">
        <v>5</v>
      </c>
      <c r="F9" s="33">
        <v>10</v>
      </c>
      <c r="G9" s="30">
        <v>107.37932169208381</v>
      </c>
      <c r="H9" s="30">
        <v>104.10797465031197</v>
      </c>
      <c r="I9" s="51">
        <v>107.37934</v>
      </c>
      <c r="J9" s="51">
        <v>104.10796999999999</v>
      </c>
      <c r="K9" s="52">
        <f t="shared" si="0"/>
        <v>1.8307916192839002E-5</v>
      </c>
      <c r="L9" s="53">
        <f t="shared" si="0"/>
        <v>-4.650311979048638E-6</v>
      </c>
    </row>
    <row r="10" spans="2:12">
      <c r="C10" s="32">
        <v>10</v>
      </c>
      <c r="D10" s="33">
        <v>8</v>
      </c>
      <c r="E10" s="33">
        <v>18</v>
      </c>
      <c r="F10" s="33">
        <v>0</v>
      </c>
      <c r="G10" s="30">
        <v>0</v>
      </c>
      <c r="H10" s="30">
        <v>0</v>
      </c>
      <c r="I10" s="51">
        <v>0.23054619000000001</v>
      </c>
      <c r="J10" s="51">
        <v>0.23054619000000001</v>
      </c>
      <c r="K10" s="52">
        <f t="shared" si="0"/>
        <v>0.23054619000000001</v>
      </c>
      <c r="L10" s="53">
        <f t="shared" si="0"/>
        <v>0.23054619000000001</v>
      </c>
    </row>
    <row r="11" spans="2:12">
      <c r="C11" s="32">
        <v>10</v>
      </c>
      <c r="D11" s="33">
        <v>8</v>
      </c>
      <c r="E11" s="33">
        <v>1</v>
      </c>
      <c r="F11" s="33">
        <v>1</v>
      </c>
      <c r="G11" s="104" t="s">
        <v>39</v>
      </c>
      <c r="H11" s="104"/>
      <c r="I11" s="101" t="s">
        <v>39</v>
      </c>
      <c r="J11" s="101"/>
      <c r="K11" s="54" t="s">
        <v>46</v>
      </c>
      <c r="L11" s="55" t="s">
        <v>46</v>
      </c>
    </row>
    <row r="12" spans="2:12">
      <c r="C12" s="32">
        <v>10</v>
      </c>
      <c r="D12" s="33">
        <v>8</v>
      </c>
      <c r="E12" s="33">
        <v>20</v>
      </c>
      <c r="F12" s="33">
        <v>1</v>
      </c>
      <c r="G12" s="104" t="s">
        <v>40</v>
      </c>
      <c r="H12" s="104"/>
      <c r="I12" s="101" t="s">
        <v>40</v>
      </c>
      <c r="J12" s="101"/>
      <c r="K12" s="54" t="s">
        <v>46</v>
      </c>
      <c r="L12" s="55" t="s">
        <v>46</v>
      </c>
    </row>
    <row r="13" spans="2:12">
      <c r="C13" s="32">
        <v>10</v>
      </c>
      <c r="D13" s="33">
        <v>8</v>
      </c>
      <c r="E13" s="33">
        <v>-12</v>
      </c>
      <c r="F13" s="33">
        <v>6</v>
      </c>
      <c r="G13" s="30">
        <v>189.82619310702182</v>
      </c>
      <c r="H13" s="30">
        <v>84.260829522733204</v>
      </c>
      <c r="I13" s="51">
        <v>189.82622000000001</v>
      </c>
      <c r="J13" s="51">
        <v>84.260825999999994</v>
      </c>
      <c r="K13" s="52">
        <f t="shared" ref="K13:K27" si="1">I13-G13</f>
        <v>2.6892978183923333E-5</v>
      </c>
      <c r="L13" s="53">
        <f t="shared" ref="L13:L27" si="2">J13-H13</f>
        <v>-3.5227332091380958E-6</v>
      </c>
    </row>
    <row r="14" spans="2:12">
      <c r="C14" s="32">
        <v>10</v>
      </c>
      <c r="D14" s="33">
        <v>8</v>
      </c>
      <c r="E14" s="33">
        <v>12</v>
      </c>
      <c r="F14" s="33">
        <v>-6</v>
      </c>
      <c r="G14" s="30">
        <v>9.826193107021842</v>
      </c>
      <c r="H14" s="30">
        <v>84.260829522733204</v>
      </c>
      <c r="I14" s="51">
        <v>9.8262140000000002</v>
      </c>
      <c r="J14" s="51">
        <v>84.260825999999994</v>
      </c>
      <c r="K14" s="52">
        <f t="shared" si="1"/>
        <v>2.0892978158215669E-5</v>
      </c>
      <c r="L14" s="53">
        <f t="shared" si="2"/>
        <v>-3.5227332091380958E-6</v>
      </c>
    </row>
    <row r="15" spans="2:12">
      <c r="C15" s="32">
        <v>10</v>
      </c>
      <c r="D15" s="33">
        <v>8</v>
      </c>
      <c r="E15" s="33">
        <v>-12</v>
      </c>
      <c r="F15" s="33">
        <v>-6</v>
      </c>
      <c r="G15" s="30">
        <v>-117.04370453882218</v>
      </c>
      <c r="H15" s="30">
        <v>84.260829522733204</v>
      </c>
      <c r="I15" s="51">
        <v>-117.04369</v>
      </c>
      <c r="J15" s="51">
        <v>84.260825999999994</v>
      </c>
      <c r="K15" s="52">
        <f t="shared" si="1"/>
        <v>1.4538822185272693E-5</v>
      </c>
      <c r="L15" s="53">
        <f t="shared" si="2"/>
        <v>-3.5227332091380958E-6</v>
      </c>
    </row>
    <row r="16" spans="2:12">
      <c r="C16" s="32">
        <v>10</v>
      </c>
      <c r="D16" s="33">
        <v>8</v>
      </c>
      <c r="E16" s="33">
        <v>-5</v>
      </c>
      <c r="F16" s="33">
        <v>10</v>
      </c>
      <c r="G16" s="30">
        <v>160.50942404623979</v>
      </c>
      <c r="H16" s="30">
        <v>104.10797465031197</v>
      </c>
      <c r="I16" s="51">
        <v>160.50941</v>
      </c>
      <c r="J16" s="51">
        <v>104.10796999999999</v>
      </c>
      <c r="K16" s="52">
        <f t="shared" si="1"/>
        <v>-1.4046239783738201E-5</v>
      </c>
      <c r="L16" s="53">
        <f t="shared" si="2"/>
        <v>-4.650311979048638E-6</v>
      </c>
    </row>
    <row r="17" spans="3:12">
      <c r="C17" s="32">
        <v>10</v>
      </c>
      <c r="D17" s="33">
        <v>8</v>
      </c>
      <c r="E17" s="33">
        <v>5</v>
      </c>
      <c r="F17" s="33">
        <v>-10</v>
      </c>
      <c r="G17" s="30">
        <v>-19.490575953760203</v>
      </c>
      <c r="H17" s="30">
        <v>104.10797465031197</v>
      </c>
      <c r="I17" s="51">
        <v>-19.490584999999999</v>
      </c>
      <c r="J17" s="51">
        <v>104.10796999999999</v>
      </c>
      <c r="K17" s="52">
        <f t="shared" si="1"/>
        <v>-9.0462397963619878E-6</v>
      </c>
      <c r="L17" s="53">
        <f t="shared" si="2"/>
        <v>-4.650311979048638E-6</v>
      </c>
    </row>
    <row r="18" spans="3:12">
      <c r="C18" s="32">
        <v>10</v>
      </c>
      <c r="D18" s="33">
        <v>8</v>
      </c>
      <c r="E18" s="33">
        <v>-5</v>
      </c>
      <c r="F18" s="33">
        <v>-10</v>
      </c>
      <c r="G18" s="30">
        <v>-72.62067830791618</v>
      </c>
      <c r="H18" s="30">
        <v>104.10797465031197</v>
      </c>
      <c r="I18" s="51">
        <v>-72.620670000000004</v>
      </c>
      <c r="J18" s="51">
        <v>104.10796999999999</v>
      </c>
      <c r="K18" s="52">
        <f t="shared" si="1"/>
        <v>8.307916175454011E-6</v>
      </c>
      <c r="L18" s="53">
        <f t="shared" si="2"/>
        <v>-4.650311979048638E-6</v>
      </c>
    </row>
    <row r="19" spans="3:12">
      <c r="C19" s="32">
        <v>10</v>
      </c>
      <c r="D19" s="33">
        <v>8</v>
      </c>
      <c r="E19" s="39">
        <v>12.7279220613579</v>
      </c>
      <c r="F19" s="39">
        <v>12.7279220613579</v>
      </c>
      <c r="G19" s="30">
        <v>45</v>
      </c>
      <c r="H19" s="30">
        <v>0</v>
      </c>
      <c r="I19" s="51">
        <v>45.230539999999998</v>
      </c>
      <c r="J19" s="51">
        <v>0.23054619000000001</v>
      </c>
      <c r="K19" s="52">
        <f t="shared" si="1"/>
        <v>0.23053999999999775</v>
      </c>
      <c r="L19" s="53">
        <f t="shared" si="2"/>
        <v>0.23054619000000001</v>
      </c>
    </row>
    <row r="20" spans="3:12">
      <c r="C20" s="32">
        <v>8</v>
      </c>
      <c r="D20" s="33">
        <v>10</v>
      </c>
      <c r="E20" s="44">
        <v>12</v>
      </c>
      <c r="F20" s="44">
        <v>6</v>
      </c>
      <c r="G20" s="30">
        <v>74.434636415711367</v>
      </c>
      <c r="H20" s="30">
        <v>84.260829522733204</v>
      </c>
      <c r="I20" s="51">
        <v>74.434640000000002</v>
      </c>
      <c r="J20" s="51">
        <v>84.260825999999994</v>
      </c>
      <c r="K20" s="52">
        <f t="shared" si="1"/>
        <v>3.5842886347836611E-6</v>
      </c>
      <c r="L20" s="53">
        <f t="shared" si="2"/>
        <v>-3.5227332091380958E-6</v>
      </c>
    </row>
    <row r="21" spans="3:12">
      <c r="C21" s="32">
        <v>8</v>
      </c>
      <c r="D21" s="33">
        <v>10</v>
      </c>
      <c r="E21" s="44">
        <v>14</v>
      </c>
      <c r="F21" s="44">
        <v>10</v>
      </c>
      <c r="G21" s="30">
        <v>54.714022802579919</v>
      </c>
      <c r="H21" s="30">
        <v>34.411508669769447</v>
      </c>
      <c r="I21" s="51">
        <v>54.714024000000002</v>
      </c>
      <c r="J21" s="51">
        <v>34.411513999999997</v>
      </c>
      <c r="K21" s="52">
        <f t="shared" si="1"/>
        <v>1.1974200830877635E-6</v>
      </c>
      <c r="L21" s="53">
        <f t="shared" si="2"/>
        <v>5.3302305502711533E-6</v>
      </c>
    </row>
    <row r="22" spans="3:12">
      <c r="C22" s="32">
        <v>8</v>
      </c>
      <c r="D22" s="33">
        <v>10</v>
      </c>
      <c r="E22" s="43">
        <v>0</v>
      </c>
      <c r="F22" s="43">
        <v>14</v>
      </c>
      <c r="G22" s="30">
        <v>134.41530859719296</v>
      </c>
      <c r="H22" s="30">
        <v>78.463040967184511</v>
      </c>
      <c r="I22" s="51">
        <v>134.97695999999999</v>
      </c>
      <c r="J22" s="51">
        <v>78.463040000000007</v>
      </c>
      <c r="K22" s="52">
        <f t="shared" si="1"/>
        <v>0.56165140280702985</v>
      </c>
      <c r="L22" s="53">
        <f t="shared" si="2"/>
        <v>-9.6718450492971897E-7</v>
      </c>
    </row>
    <row r="23" spans="3:12">
      <c r="C23" s="32">
        <v>18</v>
      </c>
      <c r="D23" s="33">
        <v>1</v>
      </c>
      <c r="E23" s="33">
        <v>18</v>
      </c>
      <c r="F23" s="33">
        <v>1</v>
      </c>
      <c r="G23" s="30">
        <v>6.3596602397283943</v>
      </c>
      <c r="H23" s="30">
        <v>90</v>
      </c>
      <c r="I23" s="51">
        <v>6.3610787000000002</v>
      </c>
      <c r="J23" s="51">
        <v>90.000045999999998</v>
      </c>
      <c r="K23" s="52">
        <f t="shared" si="1"/>
        <v>1.4184602716058592E-3</v>
      </c>
      <c r="L23" s="53">
        <f t="shared" si="2"/>
        <v>4.5999999997548002E-5</v>
      </c>
    </row>
    <row r="24" spans="3:12">
      <c r="C24" s="32">
        <v>16</v>
      </c>
      <c r="D24" s="33">
        <v>2</v>
      </c>
      <c r="E24" s="33">
        <v>18</v>
      </c>
      <c r="F24" s="33">
        <v>0</v>
      </c>
      <c r="G24" s="30">
        <v>0</v>
      </c>
      <c r="H24" s="30">
        <v>0</v>
      </c>
      <c r="I24" s="51">
        <v>0.23054619000000001</v>
      </c>
      <c r="J24" s="51">
        <v>0.23054619000000001</v>
      </c>
      <c r="K24" s="52">
        <f t="shared" si="1"/>
        <v>0.23054619000000001</v>
      </c>
      <c r="L24" s="53">
        <f t="shared" si="2"/>
        <v>0.23054619000000001</v>
      </c>
    </row>
    <row r="25" spans="3:12">
      <c r="C25" s="32">
        <v>16</v>
      </c>
      <c r="D25" s="33">
        <v>2</v>
      </c>
      <c r="E25" s="33">
        <v>-18</v>
      </c>
      <c r="F25" s="33">
        <v>0</v>
      </c>
      <c r="G25" s="30">
        <v>180</v>
      </c>
      <c r="H25" s="30">
        <v>0</v>
      </c>
      <c r="I25" s="51">
        <v>180.23054999999999</v>
      </c>
      <c r="J25" s="51">
        <v>0.23054619000000001</v>
      </c>
      <c r="K25" s="52">
        <f t="shared" si="1"/>
        <v>0.23054999999999382</v>
      </c>
      <c r="L25" s="53">
        <f t="shared" si="2"/>
        <v>0.23054619000000001</v>
      </c>
    </row>
    <row r="26" spans="3:12">
      <c r="C26" s="32">
        <v>16</v>
      </c>
      <c r="D26" s="33">
        <v>2</v>
      </c>
      <c r="E26" s="33">
        <v>0</v>
      </c>
      <c r="F26" s="33">
        <v>18</v>
      </c>
      <c r="G26" s="30">
        <v>90</v>
      </c>
      <c r="H26" s="30">
        <v>0</v>
      </c>
      <c r="I26" s="51">
        <v>90.792199999999994</v>
      </c>
      <c r="J26" s="51">
        <v>0.23054619000000001</v>
      </c>
      <c r="K26" s="52">
        <f t="shared" si="1"/>
        <v>0.79219999999999402</v>
      </c>
      <c r="L26" s="53">
        <f t="shared" si="2"/>
        <v>0.23054619000000001</v>
      </c>
    </row>
    <row r="27" spans="3:12" ht="15.75" thickBot="1">
      <c r="C27" s="34">
        <v>16</v>
      </c>
      <c r="D27" s="35">
        <v>2</v>
      </c>
      <c r="E27" s="35">
        <v>0</v>
      </c>
      <c r="F27" s="35">
        <v>-18</v>
      </c>
      <c r="G27" s="31">
        <v>-90</v>
      </c>
      <c r="H27" s="31">
        <v>0</v>
      </c>
      <c r="I27" s="56">
        <v>-90.331100000000006</v>
      </c>
      <c r="J27" s="56">
        <v>0.23054619000000001</v>
      </c>
      <c r="K27" s="57">
        <f t="shared" si="1"/>
        <v>-0.33110000000000639</v>
      </c>
      <c r="L27" s="58">
        <f t="shared" si="2"/>
        <v>0.23054619000000001</v>
      </c>
    </row>
    <row r="28" spans="3:12">
      <c r="C28" s="29" t="s">
        <v>47</v>
      </c>
    </row>
  </sheetData>
  <mergeCells count="9">
    <mergeCell ref="C5:D6"/>
    <mergeCell ref="G5:H6"/>
    <mergeCell ref="G11:H11"/>
    <mergeCell ref="G12:H12"/>
    <mergeCell ref="I5:J6"/>
    <mergeCell ref="K5:L6"/>
    <mergeCell ref="I11:J11"/>
    <mergeCell ref="I12:J12"/>
    <mergeCell ref="E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 de Cálculos</vt:lpstr>
      <vt:lpstr>Plano de Testes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Pereira da Silva</dc:creator>
  <cp:lastModifiedBy>Leonardo Pereira da Silva</cp:lastModifiedBy>
  <dcterms:created xsi:type="dcterms:W3CDTF">2025-12-14T23:51:32Z</dcterms:created>
  <dcterms:modified xsi:type="dcterms:W3CDTF">2026-02-20T16:37:01Z</dcterms:modified>
</cp:coreProperties>
</file>